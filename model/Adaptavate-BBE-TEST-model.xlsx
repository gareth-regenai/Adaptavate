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Outputs" sheetId="3" state="visible" r:id="rId3"/>
    <sheet xmlns:r="http://schemas.openxmlformats.org/officeDocument/2006/relationships" name="Internal" sheetId="4" state="visible" r:id="rId4"/>
  </sheets>
  <definedNames>
    <definedName name="in_feedstock_carbon">'Inputs'!$B$2</definedName>
    <definedName name="in_feedstock_yield">'Inputs'!$B$3</definedName>
    <definedName name="in_feedstock_cost">'Inputs'!$B$4</definedName>
    <definedName name="in_plant_capacity">'Inputs'!$B$5</definedName>
    <definedName name="in_gas_consumption">'Inputs'!$B$6</definedName>
    <definedName name="in_line_conversion">'Inputs'!$B$7</definedName>
    <definedName name="in_biochar_rate">'Inputs'!$B$8</definedName>
    <definedName name="in_carbon_price">'Inputs'!$B$9</definedName>
    <definedName name="in_credit_multiplier">'Inputs'!$B$10</definedName>
    <definedName name="out_gas_pct">'Outputs'!$B$2</definedName>
    <definedName name="out_gas_mwh">'Outputs'!$B$3</definedName>
    <definedName name="out_gypsum_pct">'Outputs'!$B$4</definedName>
    <definedName name="out_gypsum_tonnes">'Outputs'!$B$5</definedName>
    <definedName name="out_net_carbon">'Outputs'!$B$6</definedName>
    <definedName name="out_cdr_tonnes">'Outputs'!$B$7</definedName>
    <definedName name="out_capex">'Outputs'!$B$8</definedName>
    <definedName name="out_opex">'Outputs'!$B$9</definedName>
    <definedName name="out_unit_cost">'Outputs'!$B$10</definedName>
    <definedName name="out_net_cash">'Outputs'!$B$11</definedName>
    <definedName name="out_payback">'Outputs'!$B$12</definedName>
    <definedName name="out_npv">'Outputs'!$B$13</definedName>
    <definedName name="int_feedstock_tonnes">'Internal'!$B$2</definedName>
    <definedName name="int_converted_output">'Internal'!$B$3</definedName>
    <definedName name="int_gas_savings">'Internal'!$B$4</definedName>
    <definedName name="int_carbon_revenue">'Internal'!$B$5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Feedstock carbon factor</t>
        </is>
      </c>
      <c r="B2" t="n">
        <v>1</v>
      </c>
      <c r="C2" t="inlineStr">
        <is>
          <t>multiplier</t>
        </is>
      </c>
    </row>
    <row r="3">
      <c r="A3" t="inlineStr">
        <is>
          <t>Feedstock yield factor</t>
        </is>
      </c>
      <c r="B3" t="n">
        <v>1</v>
      </c>
      <c r="C3" t="inlineStr">
        <is>
          <t>multiplier</t>
        </is>
      </c>
    </row>
    <row r="4">
      <c r="A4" t="inlineStr">
        <is>
          <t>Feedstock delivered cost</t>
        </is>
      </c>
      <c r="B4" t="n">
        <v>180</v>
      </c>
      <c r="C4" t="inlineStr">
        <is>
          <t>GBP/tonne</t>
        </is>
      </c>
    </row>
    <row r="5">
      <c r="A5" t="inlineStr">
        <is>
          <t>Annual plant capacity</t>
        </is>
      </c>
      <c r="B5" t="n">
        <v>5000000</v>
      </c>
      <c r="C5" t="inlineStr">
        <is>
          <t>m2/yr</t>
        </is>
      </c>
    </row>
    <row r="6">
      <c r="A6" t="inlineStr">
        <is>
          <t>Current gas consumption</t>
        </is>
      </c>
      <c r="B6" t="n">
        <v>9.5</v>
      </c>
      <c r="C6" t="inlineStr">
        <is>
          <t>kWh/m2</t>
        </is>
      </c>
    </row>
    <row r="7">
      <c r="A7" t="inlineStr">
        <is>
          <t>Line conversion level</t>
        </is>
      </c>
      <c r="B7" t="n">
        <v>40</v>
      </c>
      <c r="C7" t="inlineStr">
        <is>
          <t>percent</t>
        </is>
      </c>
    </row>
    <row r="8">
      <c r="A8" t="inlineStr">
        <is>
          <t>Biochar inclusion rate</t>
        </is>
      </c>
      <c r="B8" t="n">
        <v>15</v>
      </c>
      <c r="C8" t="inlineStr">
        <is>
          <t>percent</t>
        </is>
      </c>
    </row>
    <row r="9">
      <c r="A9" t="inlineStr">
        <is>
          <t>Carbon credit price</t>
        </is>
      </c>
      <c r="B9" t="n">
        <v>120</v>
      </c>
      <c r="C9" t="inlineStr">
        <is>
          <t>GBP/tCO2e</t>
        </is>
      </c>
    </row>
    <row r="10">
      <c r="A10" t="inlineStr">
        <is>
          <t>Credit mode multiplier</t>
        </is>
      </c>
      <c r="B10" t="n">
        <v>1</v>
      </c>
      <c r="C10" t="inlineStr">
        <is>
          <t>multiplier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INTERNAL MODEL, NEVER EXPOSED TO THE CLIENT</t>
        </is>
      </c>
    </row>
    <row r="2">
      <c r="A2" t="inlineStr">
        <is>
          <t>Conversion share</t>
        </is>
      </c>
      <c r="B2">
        <f>in_line_conversion/100</f>
        <v/>
      </c>
    </row>
    <row r="3">
      <c r="A3" t="inlineStr">
        <is>
          <t>Biochar share</t>
        </is>
      </c>
      <c r="B3">
        <f>in_biochar_rate/100</f>
        <v/>
      </c>
    </row>
    <row r="4">
      <c r="A4" t="inlineStr">
        <is>
          <t>Baseline carbon</t>
        </is>
      </c>
      <c r="B4">
        <f>6.4</f>
        <v/>
      </c>
    </row>
    <row r="5">
      <c r="A5" t="inlineStr">
        <is>
          <t>Converted output</t>
        </is>
      </c>
      <c r="B5">
        <f>in_plant_capacity*B2</f>
        <v/>
      </c>
    </row>
    <row r="6">
      <c r="A6" t="inlineStr">
        <is>
          <t>Feedstock tonnes</t>
        </is>
      </c>
      <c r="B6">
        <f>in_plant_capacity*B2*B3*0.00065*(1/in_feedstock_yield)</f>
        <v/>
      </c>
    </row>
    <row r="7">
      <c r="A7" t="inlineStr">
        <is>
          <t>Opex feedstock</t>
        </is>
      </c>
      <c r="B7">
        <f>B6*in_feedstock_cost</f>
        <v/>
      </c>
    </row>
    <row r="8">
      <c r="A8" t="inlineStr">
        <is>
          <t>Opex fixed</t>
        </is>
      </c>
      <c r="B8">
        <f>165000*(in_plant_capacity/5000000)</f>
        <v/>
      </c>
    </row>
    <row r="9">
      <c r="A9" t="inlineStr">
        <is>
          <t>Gas savings value</t>
        </is>
      </c>
      <c r="B9">
        <f>(in_plant_capacity*in_gas_consumption*B2*0.45/1000)*38</f>
        <v/>
      </c>
    </row>
    <row r="10">
      <c r="A10" t="inlineStr">
        <is>
          <t>Carbon revenue</t>
        </is>
      </c>
      <c r="B10">
        <f>(in_plant_capacity*B2*B3*0.0091*in_feedstock_carbon)*in_carbon_price*in_credit_multiplier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3" max="3"/>
  </cols>
  <sheetData>
    <row r="1">
      <c r="A1" s="1" t="inlineStr">
        <is>
          <t>OUTPUT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Gas displacement pct</t>
        </is>
      </c>
      <c r="B2">
        <f>MIN(100,Calculations!B2*62)</f>
        <v/>
      </c>
      <c r="C2" t="inlineStr">
        <is>
          <t>percent</t>
        </is>
      </c>
    </row>
    <row r="3">
      <c r="A3" t="inlineStr">
        <is>
          <t>Gas displacement MWh</t>
        </is>
      </c>
      <c r="B3">
        <f>in_plant_capacity*in_gas_consumption*Calculations!B2*0.45/1000</f>
        <v/>
      </c>
      <c r="C3" t="inlineStr">
        <is>
          <t>MWh/yr</t>
        </is>
      </c>
    </row>
    <row r="4">
      <c r="A4" t="inlineStr">
        <is>
          <t>Gypsum saved pct</t>
        </is>
      </c>
      <c r="B4">
        <f>MIN(100,Calculations!B3*145)</f>
        <v/>
      </c>
      <c r="C4" t="inlineStr">
        <is>
          <t>percent</t>
        </is>
      </c>
    </row>
    <row r="5">
      <c r="A5" t="inlineStr">
        <is>
          <t>Gypsum saved tonnes</t>
        </is>
      </c>
      <c r="B5">
        <f>in_plant_capacity*Calculations!B2*Calculations!B3*0.052*in_feedstock_yield</f>
        <v/>
      </c>
      <c r="C5" t="inlineStr">
        <is>
          <t>tonnes/yr</t>
        </is>
      </c>
    </row>
    <row r="6">
      <c r="A6" t="inlineStr">
        <is>
          <t>Net embodied carbon</t>
        </is>
      </c>
      <c r="B6">
        <f>Calculations!B4-(Calculations!B2*Calculations!B3*22*in_feedstock_carbon)</f>
        <v/>
      </c>
      <c r="C6" t="inlineStr">
        <is>
          <t>kgCO2e/m2</t>
        </is>
      </c>
    </row>
    <row r="7">
      <c r="A7" t="inlineStr">
        <is>
          <t>Annual CO2 removed</t>
        </is>
      </c>
      <c r="B7">
        <f>in_plant_capacity*Calculations!B2*Calculations!B3*0.0091*in_feedstock_carbon</f>
        <v/>
      </c>
      <c r="C7" t="inlineStr">
        <is>
          <t>tonnes/yr</t>
        </is>
      </c>
    </row>
    <row r="8">
      <c r="A8" t="inlineStr">
        <is>
          <t>Capex</t>
        </is>
      </c>
      <c r="B8">
        <f>2600000*(in_plant_capacity/5000000)*(0.6+Calculations!B2*0.4)</f>
        <v/>
      </c>
      <c r="C8" t="inlineStr">
        <is>
          <t>GBP</t>
        </is>
      </c>
    </row>
    <row r="9">
      <c r="A9" t="inlineStr">
        <is>
          <t>Opex</t>
        </is>
      </c>
      <c r="B9">
        <f>Calculations!B7+Calculations!B8</f>
        <v/>
      </c>
      <c r="C9" t="inlineStr">
        <is>
          <t>GBP/yr</t>
        </is>
      </c>
    </row>
    <row r="10">
      <c r="A10" t="inlineStr">
        <is>
          <t>Unit cost</t>
        </is>
      </c>
      <c r="B10">
        <f>IF(Calculations!B5&gt;0,(Calculations!B7+Calculations!B8)/Calculations!B5,0)</f>
        <v/>
      </c>
      <c r="C10" t="inlineStr">
        <is>
          <t>GBP/m2</t>
        </is>
      </c>
    </row>
    <row r="11">
      <c r="A11" t="inlineStr">
        <is>
          <t>Net annual cash flow</t>
        </is>
      </c>
      <c r="B11">
        <f>Calculations!B9+Calculations!B10-(Calculations!B7+Calculations!B8)</f>
        <v/>
      </c>
      <c r="C11" t="inlineStr">
        <is>
          <t>GBP/yr</t>
        </is>
      </c>
    </row>
    <row r="12">
      <c r="A12" t="inlineStr">
        <is>
          <t>Payback years</t>
        </is>
      </c>
      <c r="B12">
        <f>IF(out_net_cash&gt;0,out_capex/out_net_cash,-1)</f>
        <v/>
      </c>
      <c r="C12" t="inlineStr">
        <is>
          <t>years</t>
        </is>
      </c>
    </row>
    <row r="13">
      <c r="A13" t="inlineStr">
        <is>
          <t>NPV 10yr at 8pct</t>
        </is>
      </c>
      <c r="B13">
        <f>-out_capex+out_net_cash*((1-(1.08^-10))/0.08)</f>
        <v/>
      </c>
      <c r="C13" t="inlineStr">
        <is>
          <t>GBP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INTERNAL OUTPUT</t>
        </is>
      </c>
      <c r="B1" t="inlineStr">
        <is>
          <t>VALUE</t>
        </is>
      </c>
    </row>
    <row r="2">
      <c r="A2" t="inlineStr">
        <is>
          <t>Feedstock tonnes</t>
        </is>
      </c>
      <c r="B2">
        <f>Calculations!B6</f>
        <v/>
      </c>
    </row>
    <row r="3">
      <c r="A3" t="inlineStr">
        <is>
          <t>Converted output</t>
        </is>
      </c>
      <c r="B3">
        <f>Calculations!B5</f>
        <v/>
      </c>
    </row>
    <row r="4">
      <c r="A4" t="inlineStr">
        <is>
          <t>Gas savings value</t>
        </is>
      </c>
      <c r="B4">
        <f>Calculations!B9</f>
        <v/>
      </c>
    </row>
    <row r="5">
      <c r="A5" t="inlineStr">
        <is>
          <t>Carbon revenue</t>
        </is>
      </c>
      <c r="B5">
        <f>Calculations!B10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2026-09-17T21:37:50Z</dcterms:created>
  <dcterms:modified xmlns:dcterms="http://purl.org/dc/terms/" xmlns:xsi="http://www.w3.org/2001/XMLSchema-instance" xsi:type="dcterms:W3CDTF">2026-09-17T21:37:50Z</dcterms:modified>
</cp:coreProperties>
</file>